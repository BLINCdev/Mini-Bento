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lashC\Dropbox\BLINC\Projects\BLINCdev\Repositories\Mini-Bento_v2\"/>
    </mc:Choice>
  </mc:AlternateContent>
  <bookViews>
    <workbookView xWindow="23880" yWindow="-120" windowWidth="24240" windowHeight="13740"/>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46" i="1" l="1"/>
  <c r="B47" i="1"/>
  <c r="B45" i="1" l="1"/>
  <c r="B44" i="1" l="1"/>
  <c r="B43" i="1"/>
</calcChain>
</file>

<file path=xl/sharedStrings.xml><?xml version="1.0" encoding="utf-8"?>
<sst xmlns="http://schemas.openxmlformats.org/spreadsheetml/2006/main" count="92" uniqueCount="49">
  <si>
    <t>Bento Arm V2 3D printed Part List</t>
  </si>
  <si>
    <t>Bento_endo_raft</t>
  </si>
  <si>
    <t>Print Settings</t>
  </si>
  <si>
    <t>Part mass (g)</t>
  </si>
  <si>
    <t>Required QTY</t>
  </si>
  <si>
    <t>Note: Part mass is for QTY:1 of a given part</t>
  </si>
  <si>
    <t>standard_noraft</t>
  </si>
  <si>
    <t>Part Type</t>
  </si>
  <si>
    <t>Arm - 3D Printed</t>
  </si>
  <si>
    <t>Arm - Purchased</t>
  </si>
  <si>
    <t>Table 1 - Individual Parts List</t>
  </si>
  <si>
    <t>electronics_plate_rev2</t>
  </si>
  <si>
    <t>stand_base_rev2</t>
  </si>
  <si>
    <t>Print mass (g)</t>
  </si>
  <si>
    <t>Armshell parts</t>
  </si>
  <si>
    <t>Print Time (min)</t>
  </si>
  <si>
    <t>upper_stand_rev2</t>
  </si>
  <si>
    <t>corner_bracket_rev2</t>
  </si>
  <si>
    <t>shoulder_adapter_rev2</t>
  </si>
  <si>
    <t>XL-330_side_bracket_rev2</t>
  </si>
  <si>
    <t>chopsticks_fixed_plate_rev2</t>
  </si>
  <si>
    <t>chopsticks_flex_bracket_rev2</t>
  </si>
  <si>
    <t>chopsticks_moving_plate_rev2</t>
  </si>
  <si>
    <t>XL-330</t>
  </si>
  <si>
    <t>XL-330_flex_FPX330-H101</t>
  </si>
  <si>
    <t>XL-330_bottom_FPX330-S102</t>
  </si>
  <si>
    <t xml:space="preserve">Part Name </t>
  </si>
  <si>
    <t>Standard Edition Colors</t>
  </si>
  <si>
    <t>Classic Bento Edition Colors</t>
  </si>
  <si>
    <t>Bento_endo_noraft</t>
  </si>
  <si>
    <t>Thumb Joystick</t>
  </si>
  <si>
    <t>OpenRB-150</t>
  </si>
  <si>
    <t>Mini Breadboard</t>
  </si>
  <si>
    <t>4g/part</t>
  </si>
  <si>
    <t>chopsticks_side_bracket_rev2</t>
  </si>
  <si>
    <t>black</t>
  </si>
  <si>
    <t>XL-330 cables (180mm)</t>
  </si>
  <si>
    <t xml:space="preserve">Total mass of arm below elbow: </t>
  </si>
  <si>
    <t xml:space="preserve">Total mass of arm below wrist: </t>
  </si>
  <si>
    <t>white</t>
  </si>
  <si>
    <t>cable_plate_4holes_rev2</t>
  </si>
  <si>
    <t>cable_plate_2holes_rev2</t>
  </si>
  <si>
    <t>OpenRB_150_standoff_rev2</t>
  </si>
  <si>
    <t>0.7g/part</t>
  </si>
  <si>
    <t>Total mass of white PLA</t>
  </si>
  <si>
    <t>Total mass of black PLA</t>
  </si>
  <si>
    <t>Total print time (hours)</t>
  </si>
  <si>
    <t>TBD</t>
  </si>
  <si>
    <t>translucent blue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</si>
</sst>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font>
    <font>
      <sz val="11"/>
      <color theme="1"/>
      <name val="Calibri"/>
      <family val="2"/>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Font="1" applyBorder="1"/>
    <xf numFmtId="0" fontId="1" fillId="0" borderId="1" xfId="0" applyFont="1" applyBorder="1" applyAlignment="1">
      <alignment horizontal="center" vertical="center" wrapText="1"/>
    </xf>
    <xf numFmtId="0" fontId="0" fillId="0" borderId="0" xfId="0" applyAlignment="1">
      <alignment horizontal="left"/>
    </xf>
    <xf numFmtId="0" fontId="1" fillId="0" borderId="1" xfId="0" applyFont="1" applyFill="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3" fillId="0" borderId="0" xfId="0" applyFont="1"/>
    <xf numFmtId="0" fontId="2"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137160</xdr:colOff>
      <xdr:row>1</xdr:row>
      <xdr:rowOff>7620</xdr:rowOff>
    </xdr:from>
    <xdr:ext cx="4975080" cy="2675732"/>
    <xdr:sp macro="" textlink="">
      <xdr:nvSpPr>
        <xdr:cNvPr id="2" name="TextBox 1">
          <a:extLst>
            <a:ext uri="{FF2B5EF4-FFF2-40B4-BE49-F238E27FC236}">
              <a16:creationId xmlns="" xmlns:a16="http://schemas.microsoft.com/office/drawing/2014/main" id="{00000000-0008-0000-0000-000002000000}"/>
            </a:ext>
          </a:extLst>
        </xdr:cNvPr>
        <xdr:cNvSpPr txBox="1"/>
      </xdr:nvSpPr>
      <xdr:spPr>
        <a:xfrm>
          <a:off x="137160" y="240702"/>
          <a:ext cx="4975080" cy="2675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Bento_endo_raft*</a:t>
          </a:r>
          <a:endParaRPr lang="en-CA" sz="1100" b="1">
            <a:solidFill>
              <a:schemeClr val="tx1"/>
            </a:solidFill>
            <a:effectLst/>
            <a:latin typeface="+mn-lt"/>
            <a:ea typeface="+mn-ea"/>
            <a:cs typeface="+mn-cs"/>
          </a:endParaRPr>
        </a:p>
        <a:p>
          <a:r>
            <a:rPr lang="en-US" sz="1100">
              <a:solidFill>
                <a:schemeClr val="tx1"/>
              </a:solidFill>
              <a:effectLst/>
              <a:latin typeface="+mn-lt"/>
              <a:ea typeface="+mn-ea"/>
              <a:cs typeface="+mn-cs"/>
            </a:rPr>
            <a:t>Standard settings (0.2mm layer height)</a:t>
          </a:r>
          <a:endParaRPr lang="en-CA" sz="1100">
            <a:solidFill>
              <a:schemeClr val="tx1"/>
            </a:solidFill>
            <a:effectLst/>
            <a:latin typeface="+mn-lt"/>
            <a:ea typeface="+mn-ea"/>
            <a:cs typeface="+mn-cs"/>
          </a:endParaRPr>
        </a:p>
        <a:p>
          <a:r>
            <a:rPr lang="en-US" sz="1100">
              <a:solidFill>
                <a:schemeClr val="tx1"/>
              </a:solidFill>
              <a:effectLst/>
              <a:latin typeface="+mn-lt"/>
              <a:ea typeface="+mn-ea"/>
              <a:cs typeface="+mn-cs"/>
            </a:rPr>
            <a:t>Modify to have 50% linear infill with 6mm raft</a:t>
          </a:r>
          <a:endParaRPr lang="en-CA" sz="1100">
            <a:solidFill>
              <a:schemeClr val="tx1"/>
            </a:solidFill>
            <a:effectLst/>
            <a:latin typeface="+mn-lt"/>
            <a:ea typeface="+mn-ea"/>
            <a:cs typeface="+mn-cs"/>
          </a:endParaRPr>
        </a:p>
        <a:p>
          <a:r>
            <a:rPr lang="en-US" sz="1100">
              <a:solidFill>
                <a:schemeClr val="tx1"/>
              </a:solidFill>
              <a:effectLst/>
              <a:latin typeface="+mn-lt"/>
              <a:ea typeface="+mn-ea"/>
              <a:cs typeface="+mn-cs"/>
            </a:rPr>
            <a:t> </a:t>
          </a:r>
          <a:endParaRPr lang="en-CA" sz="1100">
            <a:solidFill>
              <a:schemeClr val="tx1"/>
            </a:solidFill>
            <a:effectLst/>
            <a:latin typeface="+mn-lt"/>
            <a:ea typeface="+mn-ea"/>
            <a:cs typeface="+mn-cs"/>
          </a:endParaRPr>
        </a:p>
        <a:p>
          <a:r>
            <a:rPr lang="en-US" sz="1100" b="1">
              <a:solidFill>
                <a:schemeClr val="tx1"/>
              </a:solidFill>
              <a:effectLst/>
              <a:latin typeface="+mn-lt"/>
              <a:ea typeface="+mn-ea"/>
              <a:cs typeface="+mn-cs"/>
            </a:rPr>
            <a:t>Bento_endo_noraft</a:t>
          </a:r>
          <a:endParaRPr lang="en-CA" sz="1100" b="1">
            <a:solidFill>
              <a:schemeClr val="tx1"/>
            </a:solidFill>
            <a:effectLst/>
            <a:latin typeface="+mn-lt"/>
            <a:ea typeface="+mn-ea"/>
            <a:cs typeface="+mn-cs"/>
          </a:endParaRPr>
        </a:p>
        <a:p>
          <a:r>
            <a:rPr lang="en-US" sz="1100">
              <a:solidFill>
                <a:schemeClr val="tx1"/>
              </a:solidFill>
              <a:effectLst/>
              <a:latin typeface="+mn-lt"/>
              <a:ea typeface="+mn-ea"/>
              <a:cs typeface="+mn-cs"/>
            </a:rPr>
            <a:t>Standard settings (0.2mm layer height)</a:t>
          </a:r>
          <a:endParaRPr lang="en-CA" sz="1100">
            <a:solidFill>
              <a:schemeClr val="tx1"/>
            </a:solidFill>
            <a:effectLst/>
            <a:latin typeface="+mn-lt"/>
            <a:ea typeface="+mn-ea"/>
            <a:cs typeface="+mn-cs"/>
          </a:endParaRPr>
        </a:p>
        <a:p>
          <a:r>
            <a:rPr lang="en-US" sz="1100">
              <a:solidFill>
                <a:schemeClr val="tx1"/>
              </a:solidFill>
              <a:effectLst/>
              <a:latin typeface="+mn-lt"/>
              <a:ea typeface="+mn-ea"/>
              <a:cs typeface="+mn-cs"/>
            </a:rPr>
            <a:t>Modify to have 50% linear infill without raft</a:t>
          </a:r>
          <a:endParaRPr lang="en-CA" sz="1100">
            <a:solidFill>
              <a:schemeClr val="tx1"/>
            </a:solidFill>
            <a:effectLst/>
            <a:latin typeface="+mn-lt"/>
            <a:ea typeface="+mn-ea"/>
            <a:cs typeface="+mn-cs"/>
          </a:endParaRPr>
        </a:p>
        <a:p>
          <a:r>
            <a:rPr lang="en-US" sz="1100">
              <a:solidFill>
                <a:schemeClr val="tx1"/>
              </a:solidFill>
              <a:effectLst/>
              <a:latin typeface="+mn-lt"/>
              <a:ea typeface="+mn-ea"/>
              <a:cs typeface="+mn-cs"/>
            </a:rPr>
            <a:t> </a:t>
          </a:r>
          <a:endParaRPr lang="en-CA" sz="1100">
            <a:solidFill>
              <a:schemeClr val="tx1"/>
            </a:solidFill>
            <a:effectLst/>
            <a:latin typeface="+mn-lt"/>
            <a:ea typeface="+mn-ea"/>
            <a:cs typeface="+mn-cs"/>
          </a:endParaRPr>
        </a:p>
        <a:p>
          <a:r>
            <a:rPr lang="en-US" sz="1100" b="1">
              <a:solidFill>
                <a:schemeClr val="tx1"/>
              </a:solidFill>
              <a:effectLst/>
              <a:latin typeface="+mn-lt"/>
              <a:ea typeface="+mn-ea"/>
              <a:cs typeface="+mn-cs"/>
            </a:rPr>
            <a:t>Standard_raft</a:t>
          </a:r>
          <a:endParaRPr lang="en-CA" sz="1100" b="1">
            <a:solidFill>
              <a:schemeClr val="tx1"/>
            </a:solidFill>
            <a:effectLst/>
            <a:latin typeface="+mn-lt"/>
            <a:ea typeface="+mn-ea"/>
            <a:cs typeface="+mn-cs"/>
          </a:endParaRPr>
        </a:p>
        <a:p>
          <a:r>
            <a:rPr lang="en-US" sz="1100">
              <a:solidFill>
                <a:schemeClr val="tx1"/>
              </a:solidFill>
              <a:effectLst/>
              <a:latin typeface="+mn-lt"/>
              <a:ea typeface="+mn-ea"/>
              <a:cs typeface="+mn-cs"/>
            </a:rPr>
            <a:t>Standard settings (0.2mm layer height, hexagon infill at 10% density) with 6mm raft</a:t>
          </a:r>
          <a:endParaRPr lang="en-CA" sz="1100">
            <a:solidFill>
              <a:schemeClr val="tx1"/>
            </a:solidFill>
            <a:effectLst/>
            <a:latin typeface="+mn-lt"/>
            <a:ea typeface="+mn-ea"/>
            <a:cs typeface="+mn-cs"/>
          </a:endParaRPr>
        </a:p>
        <a:p>
          <a:endParaRPr lang="en-CA" sz="1100"/>
        </a:p>
        <a:p>
          <a:r>
            <a:rPr lang="en-US" sz="1100" b="1">
              <a:solidFill>
                <a:schemeClr val="tx1"/>
              </a:solidFill>
              <a:effectLst/>
              <a:latin typeface="+mn-lt"/>
              <a:ea typeface="+mn-ea"/>
              <a:cs typeface="+mn-cs"/>
            </a:rPr>
            <a:t>Standard noraft</a:t>
          </a:r>
          <a:endParaRPr lang="en-CA">
            <a:effectLst/>
          </a:endParaRPr>
        </a:p>
        <a:p>
          <a:r>
            <a:rPr lang="en-US" sz="1100">
              <a:solidFill>
                <a:schemeClr val="tx1"/>
              </a:solidFill>
              <a:effectLst/>
              <a:latin typeface="+mn-lt"/>
              <a:ea typeface="+mn-ea"/>
              <a:cs typeface="+mn-cs"/>
            </a:rPr>
            <a:t>Standard settings (0.2mm layer height, hexagon infill at 10% density)</a:t>
          </a:r>
        </a:p>
        <a:p>
          <a:r>
            <a:rPr lang="en-US" sz="1100">
              <a:solidFill>
                <a:schemeClr val="tx1"/>
              </a:solidFill>
              <a:effectLst/>
              <a:latin typeface="+mn-lt"/>
              <a:ea typeface="+mn-ea"/>
              <a:cs typeface="+mn-cs"/>
            </a:rPr>
            <a:t>without raft</a:t>
          </a:r>
          <a:endParaRPr lang="en-CA">
            <a:effectLst/>
          </a:endParaRPr>
        </a:p>
        <a:p>
          <a:endParaRPr lang="en-CA" sz="1100"/>
        </a:p>
      </xdr:txBody>
    </xdr:sp>
    <xdr:clientData/>
  </xdr:oneCellAnchor>
  <xdr:oneCellAnchor>
    <xdr:from>
      <xdr:col>3</xdr:col>
      <xdr:colOff>790575</xdr:colOff>
      <xdr:row>0</xdr:row>
      <xdr:rowOff>209551</xdr:rowOff>
    </xdr:from>
    <xdr:ext cx="3762376" cy="2331279"/>
    <xdr:sp macro="" textlink="">
      <xdr:nvSpPr>
        <xdr:cNvPr id="3" name="TextBox 2">
          <a:extLst>
            <a:ext uri="{FF2B5EF4-FFF2-40B4-BE49-F238E27FC236}">
              <a16:creationId xmlns="" xmlns:a16="http://schemas.microsoft.com/office/drawing/2014/main" id="{00000000-0008-0000-0000-000002000000}"/>
            </a:ext>
          </a:extLst>
        </xdr:cNvPr>
        <xdr:cNvSpPr txBox="1"/>
      </xdr:nvSpPr>
      <xdr:spPr>
        <a:xfrm>
          <a:off x="5200650" y="209551"/>
          <a:ext cx="3762376" cy="2331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1">
              <a:solidFill>
                <a:schemeClr val="tx1"/>
              </a:solidFill>
              <a:effectLst/>
              <a:latin typeface="+mn-lt"/>
              <a:ea typeface="+mn-ea"/>
              <a:cs typeface="+mn-cs"/>
            </a:rPr>
            <a:t>*</a:t>
          </a:r>
          <a:r>
            <a:rPr lang="en-CA" sz="1100" b="1" baseline="0">
              <a:solidFill>
                <a:schemeClr val="tx1"/>
              </a:solidFill>
              <a:effectLst/>
              <a:latin typeface="+mn-lt"/>
              <a:ea typeface="+mn-ea"/>
              <a:cs typeface="+mn-cs"/>
            </a:rPr>
            <a:t>NOTE: </a:t>
          </a:r>
          <a:r>
            <a:rPr lang="en-US" sz="1100">
              <a:solidFill>
                <a:schemeClr val="tx1"/>
              </a:solidFill>
              <a:effectLst/>
              <a:latin typeface="+mn-lt"/>
              <a:ea typeface="+mn-ea"/>
              <a:cs typeface="+mn-cs"/>
            </a:rPr>
            <a:t>If you have a heated bed on your 3D printer, then you can use the “Bento_endo_noraft” settings for all parts listed below to avoid the extra step of needing to remove the rafts. If you do not have a heated bed on your printer then you should use the “Bento_endo_raft” settings on the indicated parts to avoid the issue where the corners curl up during the print. If you are finding that the corners are curling up even with the raft then you can also add “bunny_ear_rev1.STL” to the corners of your prints to help extend the raft around the corners which can also help avoid the curling issue:</a:t>
          </a:r>
          <a:endParaRPr lang="en-CA" sz="1100">
            <a:solidFill>
              <a:schemeClr val="tx1"/>
            </a:solidFill>
            <a:effectLst/>
            <a:latin typeface="+mn-lt"/>
            <a:ea typeface="+mn-ea"/>
            <a:cs typeface="+mn-cs"/>
          </a:endParaRPr>
        </a:p>
        <a:p>
          <a:r>
            <a:rPr lang="en-US" sz="1100">
              <a:solidFill>
                <a:schemeClr val="tx1"/>
              </a:solidFill>
              <a:effectLst/>
              <a:latin typeface="+mn-lt"/>
              <a:ea typeface="+mn-ea"/>
              <a:cs typeface="+mn-cs"/>
            </a:rPr>
            <a:t> </a:t>
          </a:r>
          <a:endParaRPr lang="en-CA" sz="1100">
            <a:solidFill>
              <a:schemeClr val="tx1"/>
            </a:solidFill>
            <a:effectLst/>
            <a:latin typeface="+mn-lt"/>
            <a:ea typeface="+mn-ea"/>
            <a:cs typeface="+mn-cs"/>
          </a:endParaRPr>
        </a:p>
        <a:p>
          <a:endParaRPr lang="en-CA">
            <a:effectLst/>
          </a:endParaRPr>
        </a:p>
        <a:p>
          <a:endParaRPr lang="en-CA"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tabSelected="1" topLeftCell="A4" zoomScale="85" zoomScaleNormal="85" workbookViewId="0">
      <selection activeCell="C47" sqref="C47"/>
    </sheetView>
  </sheetViews>
  <sheetFormatPr defaultRowHeight="15" x14ac:dyDescent="0.25"/>
  <cols>
    <col min="1" max="1" width="35.140625" customWidth="1"/>
    <col min="2" max="2" width="17.7109375" customWidth="1"/>
    <col min="3" max="3" width="11.85546875" customWidth="1"/>
    <col min="4" max="4" width="21.7109375" customWidth="1"/>
    <col min="5" max="5" width="14.140625" customWidth="1"/>
    <col min="6" max="6" width="13" customWidth="1"/>
    <col min="7" max="7" width="12.85546875" customWidth="1"/>
    <col min="8" max="8" width="16.7109375" customWidth="1"/>
    <col min="9" max="9" width="17" customWidth="1"/>
    <col min="10" max="10" width="34.28515625" customWidth="1"/>
    <col min="11" max="11" width="15.85546875" customWidth="1"/>
    <col min="12" max="12" width="12.7109375" customWidth="1"/>
  </cols>
  <sheetData>
    <row r="1" spans="1:1" ht="18.75" x14ac:dyDescent="0.3">
      <c r="A1" s="11" t="s">
        <v>0</v>
      </c>
    </row>
    <row r="15" spans="1:1" ht="17.45" customHeight="1" x14ac:dyDescent="0.25"/>
    <row r="16" spans="1:1" x14ac:dyDescent="0.25">
      <c r="A16" t="s">
        <v>5</v>
      </c>
    </row>
    <row r="18" spans="1:10" ht="13.9" customHeight="1" x14ac:dyDescent="0.3">
      <c r="A18" s="11" t="s">
        <v>10</v>
      </c>
      <c r="I18" s="6"/>
      <c r="J18" s="6"/>
    </row>
    <row r="19" spans="1:10" ht="30" x14ac:dyDescent="0.25">
      <c r="A19" s="1" t="s">
        <v>26</v>
      </c>
      <c r="B19" s="1" t="s">
        <v>7</v>
      </c>
      <c r="C19" s="5" t="s">
        <v>4</v>
      </c>
      <c r="D19" s="5" t="s">
        <v>2</v>
      </c>
      <c r="E19" s="5" t="s">
        <v>15</v>
      </c>
      <c r="F19" s="5" t="s">
        <v>13</v>
      </c>
      <c r="G19" s="5" t="s">
        <v>3</v>
      </c>
      <c r="H19" s="7" t="s">
        <v>27</v>
      </c>
      <c r="I19" s="7" t="s">
        <v>28</v>
      </c>
    </row>
    <row r="20" spans="1:10" x14ac:dyDescent="0.25">
      <c r="A20" s="2" t="s">
        <v>11</v>
      </c>
      <c r="B20" s="2" t="s">
        <v>8</v>
      </c>
      <c r="C20" s="3">
        <v>1</v>
      </c>
      <c r="D20" s="3" t="s">
        <v>1</v>
      </c>
      <c r="E20" s="3">
        <v>72</v>
      </c>
      <c r="F20" s="3">
        <v>35.4</v>
      </c>
      <c r="G20" s="3">
        <v>21.3</v>
      </c>
      <c r="H20" s="2" t="s">
        <v>39</v>
      </c>
      <c r="I20" s="2"/>
    </row>
    <row r="21" spans="1:10" x14ac:dyDescent="0.25">
      <c r="A21" s="2" t="s">
        <v>12</v>
      </c>
      <c r="B21" s="2" t="s">
        <v>8</v>
      </c>
      <c r="C21" s="3">
        <v>1</v>
      </c>
      <c r="D21" s="3" t="s">
        <v>1</v>
      </c>
      <c r="E21" s="3">
        <v>126</v>
      </c>
      <c r="F21" s="3">
        <v>41.7</v>
      </c>
      <c r="G21" s="3">
        <v>31.3</v>
      </c>
      <c r="H21" s="2" t="s">
        <v>39</v>
      </c>
      <c r="I21" s="2"/>
    </row>
    <row r="22" spans="1:10" ht="16.149999999999999" customHeight="1" x14ac:dyDescent="0.25">
      <c r="A22" s="2" t="s">
        <v>16</v>
      </c>
      <c r="B22" s="2" t="s">
        <v>8</v>
      </c>
      <c r="C22" s="3">
        <v>1</v>
      </c>
      <c r="D22" s="3" t="s">
        <v>1</v>
      </c>
      <c r="E22" s="3">
        <v>150</v>
      </c>
      <c r="F22" s="3">
        <v>43.4</v>
      </c>
      <c r="G22" s="3">
        <v>35.4</v>
      </c>
      <c r="H22" s="2" t="s">
        <v>39</v>
      </c>
      <c r="I22" s="2"/>
    </row>
    <row r="23" spans="1:10" ht="16.149999999999999" customHeight="1" x14ac:dyDescent="0.25">
      <c r="A23" s="2" t="s">
        <v>17</v>
      </c>
      <c r="B23" s="2" t="s">
        <v>8</v>
      </c>
      <c r="C23" s="3">
        <v>2</v>
      </c>
      <c r="D23" s="3" t="s">
        <v>1</v>
      </c>
      <c r="E23" s="3">
        <v>33</v>
      </c>
      <c r="F23" s="3">
        <v>12.8</v>
      </c>
      <c r="G23" s="3">
        <v>8</v>
      </c>
      <c r="H23" s="2" t="s">
        <v>39</v>
      </c>
      <c r="I23" s="2"/>
      <c r="J23" t="s">
        <v>33</v>
      </c>
    </row>
    <row r="24" spans="1:10" ht="14.45" customHeight="1" x14ac:dyDescent="0.25">
      <c r="A24" s="2" t="s">
        <v>18</v>
      </c>
      <c r="B24" s="2" t="s">
        <v>8</v>
      </c>
      <c r="C24" s="3">
        <v>1</v>
      </c>
      <c r="D24" s="3" t="s">
        <v>29</v>
      </c>
      <c r="E24" s="3">
        <v>22</v>
      </c>
      <c r="F24" s="3">
        <v>4.2</v>
      </c>
      <c r="G24" s="3">
        <v>4.2</v>
      </c>
      <c r="H24" s="2" t="s">
        <v>35</v>
      </c>
      <c r="I24" s="4"/>
    </row>
    <row r="25" spans="1:10" ht="14.45" customHeight="1" x14ac:dyDescent="0.25">
      <c r="A25" s="2" t="s">
        <v>19</v>
      </c>
      <c r="B25" s="2" t="s">
        <v>8</v>
      </c>
      <c r="C25" s="3">
        <v>1</v>
      </c>
      <c r="D25" s="3" t="s">
        <v>29</v>
      </c>
      <c r="E25" s="3">
        <v>25</v>
      </c>
      <c r="F25" s="3">
        <v>2.8</v>
      </c>
      <c r="G25" s="3">
        <v>2.8</v>
      </c>
      <c r="H25" s="2" t="s">
        <v>35</v>
      </c>
      <c r="I25" s="2"/>
    </row>
    <row r="26" spans="1:10" ht="14.45" customHeight="1" x14ac:dyDescent="0.25">
      <c r="A26" s="2" t="s">
        <v>34</v>
      </c>
      <c r="B26" s="2" t="s">
        <v>8</v>
      </c>
      <c r="C26" s="3">
        <v>1</v>
      </c>
      <c r="D26" s="3" t="s">
        <v>29</v>
      </c>
      <c r="E26" s="3">
        <v>22</v>
      </c>
      <c r="F26" s="3">
        <v>3.9</v>
      </c>
      <c r="G26" s="3">
        <v>3.9</v>
      </c>
      <c r="H26" s="4" t="s">
        <v>35</v>
      </c>
      <c r="I26" s="4"/>
    </row>
    <row r="27" spans="1:10" ht="14.45" customHeight="1" x14ac:dyDescent="0.25">
      <c r="A27" s="2" t="s">
        <v>20</v>
      </c>
      <c r="B27" s="2" t="s">
        <v>8</v>
      </c>
      <c r="C27" s="3">
        <v>1</v>
      </c>
      <c r="D27" s="3" t="s">
        <v>29</v>
      </c>
      <c r="E27" s="3">
        <v>17</v>
      </c>
      <c r="F27" s="3">
        <v>3.6</v>
      </c>
      <c r="G27" s="3">
        <v>3.6</v>
      </c>
      <c r="H27" s="2" t="s">
        <v>39</v>
      </c>
      <c r="I27" s="4"/>
    </row>
    <row r="28" spans="1:10" ht="14.45" customHeight="1" x14ac:dyDescent="0.25">
      <c r="A28" s="2" t="s">
        <v>21</v>
      </c>
      <c r="B28" s="2" t="s">
        <v>8</v>
      </c>
      <c r="C28" s="3">
        <v>1</v>
      </c>
      <c r="D28" s="3" t="s">
        <v>29</v>
      </c>
      <c r="E28" s="3">
        <v>17</v>
      </c>
      <c r="F28" s="3">
        <v>3.2</v>
      </c>
      <c r="G28" s="3">
        <v>3.2</v>
      </c>
      <c r="H28" s="2" t="s">
        <v>39</v>
      </c>
      <c r="I28" s="4"/>
    </row>
    <row r="29" spans="1:10" ht="14.45" customHeight="1" x14ac:dyDescent="0.25">
      <c r="A29" s="2" t="s">
        <v>22</v>
      </c>
      <c r="B29" s="2" t="s">
        <v>8</v>
      </c>
      <c r="C29" s="3">
        <v>1</v>
      </c>
      <c r="D29" s="3" t="s">
        <v>29</v>
      </c>
      <c r="E29" s="3">
        <v>17</v>
      </c>
      <c r="F29" s="3">
        <v>3</v>
      </c>
      <c r="G29" s="3">
        <v>3</v>
      </c>
      <c r="H29" s="2" t="s">
        <v>39</v>
      </c>
      <c r="I29" s="2"/>
    </row>
    <row r="30" spans="1:10" ht="14.45" customHeight="1" x14ac:dyDescent="0.25">
      <c r="A30" t="s">
        <v>42</v>
      </c>
      <c r="B30" s="2" t="s">
        <v>8</v>
      </c>
      <c r="C30" s="3">
        <v>2</v>
      </c>
      <c r="D30" s="3" t="s">
        <v>29</v>
      </c>
      <c r="E30" s="3">
        <v>10</v>
      </c>
      <c r="F30" s="3">
        <v>1.4</v>
      </c>
      <c r="G30" s="3">
        <v>1.4</v>
      </c>
      <c r="H30" s="2" t="s">
        <v>39</v>
      </c>
      <c r="I30" s="2"/>
      <c r="J30" t="s">
        <v>43</v>
      </c>
    </row>
    <row r="31" spans="1:10" ht="14.45" customHeight="1" x14ac:dyDescent="0.25">
      <c r="A31" s="2" t="s">
        <v>40</v>
      </c>
      <c r="B31" s="2" t="s">
        <v>8</v>
      </c>
      <c r="C31" s="3">
        <v>1</v>
      </c>
      <c r="D31" s="3" t="s">
        <v>6</v>
      </c>
      <c r="E31" s="3">
        <v>5</v>
      </c>
      <c r="F31" s="3">
        <v>1</v>
      </c>
      <c r="G31" s="3">
        <v>1</v>
      </c>
      <c r="H31" s="2" t="s">
        <v>39</v>
      </c>
      <c r="I31" s="2"/>
    </row>
    <row r="32" spans="1:10" ht="14.45" customHeight="1" x14ac:dyDescent="0.25">
      <c r="A32" s="2" t="s">
        <v>41</v>
      </c>
      <c r="B32" s="2" t="s">
        <v>8</v>
      </c>
      <c r="C32" s="3">
        <v>1</v>
      </c>
      <c r="D32" s="3" t="s">
        <v>6</v>
      </c>
      <c r="E32" s="3">
        <v>3</v>
      </c>
      <c r="F32" s="3">
        <v>0.4</v>
      </c>
      <c r="G32" s="3">
        <v>0.4</v>
      </c>
      <c r="H32" s="2" t="s">
        <v>39</v>
      </c>
      <c r="I32" s="2"/>
    </row>
    <row r="33" spans="1:9" ht="14.45" customHeight="1" x14ac:dyDescent="0.25">
      <c r="A33" s="2" t="s">
        <v>23</v>
      </c>
      <c r="B33" s="2" t="s">
        <v>9</v>
      </c>
      <c r="C33" s="3">
        <v>1</v>
      </c>
      <c r="D33" s="3"/>
      <c r="E33" s="3"/>
      <c r="F33" s="3"/>
      <c r="G33" s="3">
        <v>18.3</v>
      </c>
      <c r="H33" s="2"/>
      <c r="I33" s="2"/>
    </row>
    <row r="34" spans="1:9" ht="14.45" customHeight="1" x14ac:dyDescent="0.25">
      <c r="A34" s="2" t="s">
        <v>24</v>
      </c>
      <c r="B34" s="2" t="s">
        <v>9</v>
      </c>
      <c r="C34" s="3">
        <v>2</v>
      </c>
      <c r="D34" s="3"/>
      <c r="E34" s="3"/>
      <c r="F34" s="3"/>
      <c r="G34" s="3">
        <v>4.0999999999999996</v>
      </c>
      <c r="H34" s="2"/>
      <c r="I34" s="2"/>
    </row>
    <row r="35" spans="1:9" ht="14.45" customHeight="1" x14ac:dyDescent="0.25">
      <c r="A35" s="2" t="s">
        <v>25</v>
      </c>
      <c r="B35" s="2" t="s">
        <v>9</v>
      </c>
      <c r="C35" s="3">
        <v>2</v>
      </c>
      <c r="D35" s="3"/>
      <c r="E35" s="3"/>
      <c r="F35" s="3"/>
      <c r="G35" s="3">
        <v>1.7</v>
      </c>
      <c r="H35" s="2"/>
      <c r="I35" s="2"/>
    </row>
    <row r="36" spans="1:9" ht="14.45" customHeight="1" x14ac:dyDescent="0.25">
      <c r="A36" s="2" t="s">
        <v>36</v>
      </c>
      <c r="B36" s="2" t="s">
        <v>9</v>
      </c>
      <c r="C36" s="3">
        <v>4</v>
      </c>
      <c r="D36" s="3"/>
      <c r="E36" s="3"/>
      <c r="F36" s="3"/>
      <c r="G36" s="3">
        <v>3.4</v>
      </c>
      <c r="H36" s="2"/>
      <c r="I36" s="2"/>
    </row>
    <row r="37" spans="1:9" ht="14.45" customHeight="1" x14ac:dyDescent="0.25">
      <c r="A37" s="2" t="s">
        <v>30</v>
      </c>
      <c r="B37" s="2" t="s">
        <v>9</v>
      </c>
      <c r="C37" s="3">
        <v>1</v>
      </c>
      <c r="D37" s="3"/>
      <c r="E37" s="3"/>
      <c r="F37" s="3"/>
      <c r="G37" s="3">
        <v>10.7</v>
      </c>
      <c r="H37" s="2"/>
      <c r="I37" s="2"/>
    </row>
    <row r="38" spans="1:9" ht="14.45" customHeight="1" x14ac:dyDescent="0.25">
      <c r="A38" s="2" t="s">
        <v>31</v>
      </c>
      <c r="B38" s="2" t="s">
        <v>9</v>
      </c>
      <c r="C38" s="3">
        <v>1</v>
      </c>
      <c r="D38" s="3"/>
      <c r="E38" s="3"/>
      <c r="F38" s="3"/>
      <c r="G38" s="3">
        <v>18</v>
      </c>
      <c r="H38" s="2"/>
      <c r="I38" s="2"/>
    </row>
    <row r="39" spans="1:9" ht="14.45" customHeight="1" x14ac:dyDescent="0.25">
      <c r="A39" s="2" t="s">
        <v>32</v>
      </c>
      <c r="B39" s="2" t="s">
        <v>9</v>
      </c>
      <c r="C39" s="3">
        <v>1</v>
      </c>
      <c r="D39" s="3"/>
      <c r="E39" s="3"/>
      <c r="F39" s="3"/>
      <c r="G39" s="3">
        <v>13.5</v>
      </c>
      <c r="H39" s="2"/>
      <c r="I39" s="2"/>
    </row>
    <row r="40" spans="1:9" ht="14.45" customHeight="1" x14ac:dyDescent="0.25">
      <c r="A40" s="2" t="s">
        <v>14</v>
      </c>
      <c r="B40" s="2" t="s">
        <v>14</v>
      </c>
      <c r="C40" s="3"/>
      <c r="D40" s="3" t="s">
        <v>6</v>
      </c>
      <c r="E40" s="3" t="s">
        <v>47</v>
      </c>
      <c r="F40" s="3" t="s">
        <v>47</v>
      </c>
      <c r="G40" s="3" t="s">
        <v>47</v>
      </c>
      <c r="H40" s="2"/>
      <c r="I40" s="2" t="s">
        <v>48</v>
      </c>
    </row>
    <row r="41" spans="1:9" x14ac:dyDescent="0.25">
      <c r="A41" s="2"/>
      <c r="B41" s="2"/>
      <c r="C41" s="3"/>
      <c r="D41" s="3"/>
      <c r="E41" s="3"/>
      <c r="F41" s="2"/>
      <c r="G41" s="3"/>
      <c r="H41" s="4"/>
      <c r="I41" s="4"/>
    </row>
    <row r="42" spans="1:9" x14ac:dyDescent="0.25">
      <c r="A42" s="8"/>
      <c r="B42" s="8"/>
      <c r="C42" s="9"/>
      <c r="D42" s="9"/>
      <c r="E42" s="9"/>
      <c r="F42" s="8"/>
      <c r="G42" s="9"/>
      <c r="H42" s="10"/>
      <c r="I42" s="10"/>
    </row>
    <row r="43" spans="1:9" x14ac:dyDescent="0.25">
      <c r="A43" s="12" t="s">
        <v>37</v>
      </c>
      <c r="B43">
        <f>G33*2+G34*2+G35*2+G36*2+G28+G29+G27+G26</f>
        <v>68.7</v>
      </c>
    </row>
    <row r="44" spans="1:9" x14ac:dyDescent="0.25">
      <c r="A44" s="12" t="s">
        <v>38</v>
      </c>
      <c r="B44">
        <f>G33*1+G34*1+G35*1+G36*1+G28+G29+G27+G26</f>
        <v>41.199999999999996</v>
      </c>
    </row>
    <row r="45" spans="1:9" x14ac:dyDescent="0.25">
      <c r="A45" s="12" t="s">
        <v>44</v>
      </c>
      <c r="B45">
        <f>SUM(F20:F23)+SUM(F27:F32)</f>
        <v>145.9</v>
      </c>
    </row>
    <row r="46" spans="1:9" x14ac:dyDescent="0.25">
      <c r="A46" s="12" t="s">
        <v>45</v>
      </c>
      <c r="B46">
        <f>SUM(F24:F26)</f>
        <v>10.9</v>
      </c>
    </row>
    <row r="47" spans="1:9" x14ac:dyDescent="0.25">
      <c r="A47" s="12" t="s">
        <v>46</v>
      </c>
      <c r="B47">
        <f>SUM(E20:E32)/60</f>
        <v>8.65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Rory</dc:creator>
  <cp:lastModifiedBy>SlashC</cp:lastModifiedBy>
  <dcterms:created xsi:type="dcterms:W3CDTF">2015-06-05T21:59:41Z</dcterms:created>
  <dcterms:modified xsi:type="dcterms:W3CDTF">2023-09-30T22:18:04Z</dcterms:modified>
</cp:coreProperties>
</file>